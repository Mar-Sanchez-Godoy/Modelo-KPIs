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" sheetId="1" r:id="rId5"/>
  </sheets>
  <definedNames/>
  <calcPr/>
</workbook>
</file>

<file path=xl/sharedStrings.xml><?xml version="1.0" encoding="utf-8"?>
<sst xmlns="http://schemas.openxmlformats.org/spreadsheetml/2006/main" count="140" uniqueCount="134">
  <si>
    <t xml:space="preserve">Económicos </t>
  </si>
  <si>
    <t>Datos</t>
  </si>
  <si>
    <t xml:space="preserve">ROI </t>
  </si>
  <si>
    <t>Coste total</t>
  </si>
  <si>
    <t>Ahorro anual</t>
  </si>
  <si>
    <t>Beneficio total</t>
  </si>
  <si>
    <t>Operativos  / año</t>
  </si>
  <si>
    <t>Datos operativos</t>
  </si>
  <si>
    <t>Horas ahorradas</t>
  </si>
  <si>
    <t>Nº consultas sin errores con IA</t>
  </si>
  <si>
    <t>Consultas con IA</t>
  </si>
  <si>
    <t>Nº de errores evitados con IA</t>
  </si>
  <si>
    <t xml:space="preserve">Adopción </t>
  </si>
  <si>
    <t>Datos adopcion</t>
  </si>
  <si>
    <t>Empleados activos</t>
  </si>
  <si>
    <t>Tasa adopción (%)</t>
  </si>
  <si>
    <t>Uso recurrente (usuarios ≥ X consultas/mes)</t>
  </si>
  <si>
    <t>Incidentes de cumplimiento / año</t>
  </si>
  <si>
    <t>Riesgo y cumplimiento</t>
  </si>
  <si>
    <t>Datos riesgo</t>
  </si>
  <si>
    <t>Cumplimiento de políticas internas (%)</t>
  </si>
  <si>
    <t>Bias detectado / año</t>
  </si>
  <si>
    <t>Nivel de explicabilidad (score o %)</t>
  </si>
  <si>
    <t>Interacciones auditables /año</t>
  </si>
  <si>
    <t>Input</t>
  </si>
  <si>
    <t>Valores</t>
  </si>
  <si>
    <t>Descripción</t>
  </si>
  <si>
    <t>Concepto claro</t>
  </si>
  <si>
    <t>Coste herramientas previas (€)</t>
  </si>
  <si>
    <t>Coste anual de herramientas eliminadas</t>
  </si>
  <si>
    <t>Ahorro generado por retirar software o servicios que dejan de ser necesarios gracias a la implementación de la IA</t>
  </si>
  <si>
    <t>Coste por error actual (€)</t>
  </si>
  <si>
    <t>Coste de corregir un error interno</t>
  </si>
  <si>
    <t>Coste de resolver un fallo generado en un proceso manual: tiempo del empleado, impacto operativo y posibles retrasos</t>
  </si>
  <si>
    <t>Empleados totales</t>
  </si>
  <si>
    <t>Número de empleados total de la empresa</t>
  </si>
  <si>
    <t>Coste hora (€)</t>
  </si>
  <si>
    <t>Promedio de coste laboral por hora por empleado</t>
  </si>
  <si>
    <t>Promedio de coste por hora de un empleado con Salario bruto anual ~31.500 € / 1.750 h</t>
  </si>
  <si>
    <t>Tiempo promedio de consultas / mes</t>
  </si>
  <si>
    <t>Promedio de minutos de un empleado por consulta</t>
  </si>
  <si>
    <t>Promedio de un empleado tarda en atender o resolver una consulta sin ayuda de IA</t>
  </si>
  <si>
    <t>Nº consultas por empleado / mes</t>
  </si>
  <si>
    <t>Consultas por empleado por mes</t>
  </si>
  <si>
    <t>Promedio de consultas que realiza cada empleado en un mes</t>
  </si>
  <si>
    <t>Tasa de error manual / año</t>
  </si>
  <si>
    <t>Errores en consultas al año por empleado</t>
  </si>
  <si>
    <t>Porcentaje de consultas que un empleado realiza de forma incorrecta en un año respecto al total de actividades que ejecuta</t>
  </si>
  <si>
    <t>Media de horas en consultas / mes</t>
  </si>
  <si>
    <t>Promedio de horas dedicados a resolución de consultas</t>
  </si>
  <si>
    <t>Promedio de minutos empleados en realizar consultas de forma mensual por cada empleado</t>
  </si>
  <si>
    <t>Tiempo total de consultas / mes</t>
  </si>
  <si>
    <t>Tiempo total en horas mensual empleado en consultas</t>
  </si>
  <si>
    <t>Coste hora de consultas / mes</t>
  </si>
  <si>
    <t>Coste mensual de tiempo en consultas</t>
  </si>
  <si>
    <t>Tasa de adopción de IA (%)</t>
  </si>
  <si>
    <t>Grado de adopción interna en porcentaje</t>
  </si>
  <si>
    <t>Porcentaje de personas que permanentemente utilizan IA</t>
  </si>
  <si>
    <t>Procesos que pasan por la IA (%)</t>
  </si>
  <si>
    <t>Grado de automatización real en porcentaje</t>
  </si>
  <si>
    <t>Porcentaje de procesos de los empleados que adoptaron consultas gestionados por la IA</t>
  </si>
  <si>
    <t>Tasa de error reducido por IA (%)</t>
  </si>
  <si>
    <t>Porcentaje de errores evitados al año utilizando IA</t>
  </si>
  <si>
    <t>Porcentaje de errores que dejan de producirse gracias al uso de la IA</t>
  </si>
  <si>
    <t>Coste anual sistema IA (€)</t>
  </si>
  <si>
    <t>Coste anual de licencias por empleado</t>
  </si>
  <si>
    <t>Coste de implementación IA (€)</t>
  </si>
  <si>
    <t>Coste inicial del sistema</t>
  </si>
  <si>
    <t>Inversión en la solución de IA, incluyendo instalación, configuración, formación y cualquier gasto asociado al despliegue inicial</t>
  </si>
  <si>
    <t>Coste operacion IA (€)</t>
  </si>
  <si>
    <t>Coste por gestión y mantenimiento</t>
  </si>
  <si>
    <t>Importe por la gestión del sistema de IA, como supervisión, soporte, ajustes o administración</t>
  </si>
  <si>
    <t>Coste de consulta resuelto con IA (€)</t>
  </si>
  <si>
    <t>Coste por consulta procesado con IA</t>
  </si>
  <si>
    <t>Coste medio asociado a que una consulta sea atendida mediante la solución de IA</t>
  </si>
  <si>
    <t>Empleados que usan IA</t>
  </si>
  <si>
    <t>Número de empleados que adoptan IA</t>
  </si>
  <si>
    <t>Coste total anual sistema IA (€)</t>
  </si>
  <si>
    <t>Coste anual de licencias total</t>
  </si>
  <si>
    <t>Importe anual de mantener activa la solución de IA, cubriendo licencias, mantenimiento, soporte técnico y actualizaciones</t>
  </si>
  <si>
    <t>Nº consultas por empleado usando IA / mes</t>
  </si>
  <si>
    <t>Consultas resueltas a través de la IA</t>
  </si>
  <si>
    <t>Nº consultas total usando IA / mes</t>
  </si>
  <si>
    <t>Número de consultas total de empleados que adoptan IA</t>
  </si>
  <si>
    <t>Nº consultas con errores evitados / año</t>
  </si>
  <si>
    <t>Consultas resueltas por empleado sin errores utilizando IA</t>
  </si>
  <si>
    <t>Tasa de reducción de tiempo usando IA (%)</t>
  </si>
  <si>
    <t>Porcentaje de tiempo reducido por consulta utilizando la IA</t>
  </si>
  <si>
    <t>Mide cuánto se reduce el tiempo necesario para resolver una consulta cuando interviene la IA</t>
  </si>
  <si>
    <t>Tiempo medio de respuesta de IA</t>
  </si>
  <si>
    <t>Minutos en promedio en analizar y responder consultas la IA</t>
  </si>
  <si>
    <t>Tiempo reducción de consultas usando IA</t>
  </si>
  <si>
    <t>Reducción promedio de minutos de un empleado por consulta</t>
  </si>
  <si>
    <t>Disminución media del tiempo que un empleado necesita para resolver una consulta cuando utiliza la IA</t>
  </si>
  <si>
    <t>Tiempo total de respuestas automatizadas / mes</t>
  </si>
  <si>
    <t>Tiempo en minutos de respuesta por automatización</t>
  </si>
  <si>
    <t>Tiempo medio ahorrado por automatizaciones / mes</t>
  </si>
  <si>
    <t>Tiempo promedio en minutos ahorrado por automatización</t>
  </si>
  <si>
    <t>Trazabilidad de respuestas (%)</t>
  </si>
  <si>
    <t>Datos rastreables cada interacción generada por la IA</t>
  </si>
  <si>
    <t>Porcentaje de datos rastreables generados por la IA. Clave para auditorías, calidad y cumplimiento</t>
  </si>
  <si>
    <t>Explicabilidad (%)</t>
  </si>
  <si>
    <t>Justificación de la IA de una respuesta</t>
  </si>
  <si>
    <t>Porcentaje de justificación de una respuesta. Aumenta la confianza del usuario y reduce riesgos en sectores regulados</t>
  </si>
  <si>
    <t>Bias detectado o sesgo / mes</t>
  </si>
  <si>
    <t>Presencia de sesgos en las respuestas de la IA</t>
  </si>
  <si>
    <t>Número de veces que el sistema genera respuestas que muestran discriminación, parcialidad o patrones no deseados</t>
  </si>
  <si>
    <t>Incidentes de cumplimiento / mes</t>
  </si>
  <si>
    <t>IA incumple políticas internas, normativas o requisitos legales</t>
  </si>
  <si>
    <t>Registra cualquier interacción que pueda suponer un riesgo legal o de compliance. Es un indicador crítico para empresas reguladas</t>
  </si>
  <si>
    <t>Logs auditables (%)</t>
  </si>
  <si>
    <t>Disponibilidad de registros completos y verificables</t>
  </si>
  <si>
    <t>Porcentaje  de datos de los que el sistema guarda un historial claro, exportable y revisable de cada acción.</t>
  </si>
  <si>
    <t>Concepto</t>
  </si>
  <si>
    <t>Fórmula</t>
  </si>
  <si>
    <t>Ahorro anual por eficiencia</t>
  </si>
  <si>
    <t>Ahorro de errores operativos</t>
  </si>
  <si>
    <t>Ahorro de herramientas eliminadas</t>
  </si>
  <si>
    <t>Beneficio_total</t>
  </si>
  <si>
    <t>Coste_total sistema IA (1er año)</t>
  </si>
  <si>
    <t>Coste total sistema IA (2do año)</t>
  </si>
  <si>
    <t>ROI (1er año)</t>
  </si>
  <si>
    <t>ROI (2do año)</t>
  </si>
  <si>
    <t>Nº de empleados que adoptan IA</t>
  </si>
  <si>
    <t>Nº de consultas actuales / año</t>
  </si>
  <si>
    <t>Consultas con IA / año</t>
  </si>
  <si>
    <t>Consultas resueltas sin errores con IA / año</t>
  </si>
  <si>
    <t>Horas actuales de consulta / año</t>
  </si>
  <si>
    <t xml:space="preserve">Horas ahorradas por consultas / año </t>
  </si>
  <si>
    <t>Errores totales por año</t>
  </si>
  <si>
    <t>Errores evitados al usar IA</t>
  </si>
  <si>
    <t>Interacciones auditables</t>
  </si>
  <si>
    <t>Bias detectado mensual</t>
  </si>
  <si>
    <t>Nivel de explicabilidad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</si>
</sst>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  <scheme val="minor"/>
    </font>
    <font>
      <b/>
      <sz val="12.0"/>
      <color rgb="FFFFFFFF"/>
      <name val="Roboto"/>
    </font>
    <font>
      <sz val="12.0"/>
      <color theme="1"/>
      <name val="Roboto"/>
    </font>
    <font>
      <sz val="12.0"/>
      <color theme="1"/>
      <name val="Arial"/>
      <scheme val="minor"/>
    </font>
    <font>
      <color theme="1"/>
      <name val="Arial"/>
      <scheme val="minor"/>
    </font>
    <font>
      <b/>
      <i/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i/>
      <sz val="12.0"/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3" fillId="0" fontId="2" numFmtId="2" xfId="0" applyBorder="1" applyFont="1" applyNumberFormat="1"/>
    <xf borderId="4" fillId="0" fontId="2" numFmtId="0" xfId="0" applyBorder="1" applyFont="1"/>
    <xf borderId="4" fillId="0" fontId="2" numFmtId="1" xfId="0" applyBorder="1" applyFont="1" applyNumberFormat="1"/>
    <xf borderId="5" fillId="0" fontId="2" numFmtId="0" xfId="0" applyBorder="1" applyFont="1"/>
    <xf borderId="5" fillId="0" fontId="2" numFmtId="2" xfId="0" applyBorder="1" applyFont="1" applyNumberFormat="1"/>
    <xf borderId="0" fillId="0" fontId="2" numFmtId="0" xfId="0" applyFont="1"/>
    <xf borderId="0" fillId="0" fontId="3" numFmtId="0" xfId="0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0" fillId="0" fontId="3" numFmtId="0" xfId="0" applyFont="1"/>
    <xf borderId="8" fillId="0" fontId="2" numFmtId="0" xfId="0" applyAlignment="1" applyBorder="1" applyFont="1">
      <alignment readingOrder="0"/>
    </xf>
    <xf borderId="9" fillId="0" fontId="4" numFmtId="0" xfId="0" applyBorder="1" applyFont="1"/>
    <xf borderId="4" fillId="0" fontId="2" numFmtId="1" xfId="0" applyBorder="1" applyFont="1" applyNumberFormat="1"/>
    <xf borderId="10" fillId="0" fontId="2" numFmtId="0" xfId="0" applyAlignment="1" applyBorder="1" applyFont="1">
      <alignment readingOrder="0"/>
    </xf>
    <xf borderId="5" fillId="0" fontId="2" numFmtId="1" xfId="0" applyBorder="1" applyFont="1" applyNumberFormat="1"/>
    <xf borderId="1" fillId="0" fontId="1" numFmtId="0" xfId="0" applyBorder="1" applyFont="1"/>
    <xf borderId="3" fillId="0" fontId="2" numFmtId="0" xfId="0" applyAlignment="1" applyBorder="1" applyFont="1">
      <alignment readingOrder="0"/>
    </xf>
    <xf borderId="3" fillId="0" fontId="2" numFmtId="1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5" fillId="0" fontId="2" numFmtId="1" xfId="0" applyBorder="1" applyFont="1" applyNumberFormat="1"/>
    <xf borderId="3" fillId="0" fontId="2" numFmtId="1" xfId="0" applyBorder="1" applyFont="1" applyNumberFormat="1"/>
    <xf borderId="4" fillId="0" fontId="2" numFmtId="0" xfId="0" applyAlignment="1" applyBorder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6" numFmtId="1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1" xfId="0" applyAlignment="1" applyFont="1" applyNumberFormat="1">
      <alignment shrinkToFit="0" vertical="center" wrapText="0"/>
    </xf>
    <xf borderId="0" fillId="0" fontId="6" numFmtId="1" xfId="0" applyAlignment="1" applyFont="1" applyNumberFormat="1">
      <alignment readingOrder="0" shrinkToFit="0" vertical="center" wrapText="0"/>
    </xf>
    <xf borderId="0" fillId="0" fontId="8" numFmtId="1" xfId="0" applyAlignment="1" applyFont="1" applyNumberFormat="1">
      <alignment readingOrder="0" shrinkToFit="0" vertical="center" wrapText="0"/>
    </xf>
    <xf borderId="0" fillId="0" fontId="8" numFmtId="1" xfId="0" applyAlignment="1" applyFont="1" applyNumberFormat="1">
      <alignment readingOrder="0"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8" numFmtId="1" xfId="0" applyAlignment="1" applyFont="1" applyNumberForma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2" xfId="0" applyAlignment="1" applyFont="1" applyNumberFormat="1">
      <alignment shrinkToFit="0" vertical="center" wrapText="0"/>
    </xf>
    <xf borderId="0" fillId="0" fontId="9" numFmtId="0" xfId="0" applyFont="1"/>
    <xf borderId="0" fillId="0" fontId="3" numFmtId="0" xfId="0" applyAlignment="1" applyFont="1">
      <alignment horizontal="left" readingOrder="0" shrinkToFit="0" vertical="center" wrapText="0"/>
    </xf>
    <xf borderId="3" fillId="0" fontId="3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2" fillId="0" fontId="3" numFmtId="1" xfId="0" applyAlignment="1" applyBorder="1" applyFont="1" applyNumberFormat="1">
      <alignment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11" fillId="0" fontId="3" numFmtId="1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left" readingOrder="0" shrinkToFit="0" vertical="center" wrapText="0"/>
    </xf>
    <xf borderId="11" fillId="0" fontId="3" numFmtId="1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10" fillId="0" fontId="2" numFmtId="0" xfId="0" applyAlignment="1" applyBorder="1" applyFont="1">
      <alignment horizontal="left" readingOrder="0" shrinkToFit="0" vertical="center" wrapText="0"/>
    </xf>
    <xf borderId="12" fillId="0" fontId="3" numFmtId="1" xfId="0" applyAlignment="1" applyBorder="1" applyFont="1" applyNumberFormat="1">
      <alignment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11" fillId="0" fontId="2" numFmtId="1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12" fillId="0" fontId="2" numFmtId="1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8">
    <tableStyle count="3" pivot="0" name="KPIs-style">
      <tableStyleElement dxfId="1" type="headerRow"/>
      <tableStyleElement dxfId="2" type="firstRowStripe"/>
      <tableStyleElement dxfId="3" type="secondRowStripe"/>
    </tableStyle>
    <tableStyle count="3" pivot="0" name="KPIs-style 2">
      <tableStyleElement dxfId="1" type="headerRow"/>
      <tableStyleElement dxfId="2" type="firstRowStripe"/>
      <tableStyleElement dxfId="3" type="secondRowStripe"/>
    </tableStyle>
    <tableStyle count="3" pivot="0" name="KPIs-style 3">
      <tableStyleElement dxfId="1" type="headerRow"/>
      <tableStyleElement dxfId="2" type="firstRowStripe"/>
      <tableStyleElement dxfId="3" type="secondRowStripe"/>
    </tableStyle>
    <tableStyle count="3" pivot="0" name="KPIs-style 4">
      <tableStyleElement dxfId="1" type="headerRow"/>
      <tableStyleElement dxfId="2" type="firstRowStripe"/>
      <tableStyleElement dxfId="3" type="secondRowStripe"/>
    </tableStyle>
    <tableStyle count="4" pivot="0" name="KPI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KPIs-style 6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KPIs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PIs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7</xdr:row>
      <xdr:rowOff>9525</xdr:rowOff>
    </xdr:from>
    <xdr:ext cx="1943100" cy="666750"/>
    <xdr:pic>
      <xdr:nvPicPr>
        <xdr:cNvPr id="67559095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1</xdr:row>
      <xdr:rowOff>47625</xdr:rowOff>
    </xdr:from>
    <xdr:ext cx="1943100" cy="666750"/>
    <xdr:pic>
      <xdr:nvPicPr>
        <xdr:cNvPr id="83249627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13</xdr:row>
      <xdr:rowOff>19050</xdr:rowOff>
    </xdr:from>
    <xdr:ext cx="1943100" cy="666750"/>
    <xdr:pic>
      <xdr:nvPicPr>
        <xdr:cNvPr id="867699166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18</xdr:row>
      <xdr:rowOff>190500</xdr:rowOff>
    </xdr:from>
    <xdr:ext cx="1943100" cy="666750"/>
    <xdr:pic>
      <xdr:nvPicPr>
        <xdr:cNvPr id="526948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5" displayName="Table_1" name="Table_1" id="1">
  <tableColumns count="2">
    <tableColumn name="Económicos " id="1"/>
    <tableColumn name="Datos" id="2"/>
  </tableColumns>
  <tableStyleInfo name="KPIs-style" showColumnStripes="0" showFirstColumn="1" showLastColumn="1" showRowStripes="1"/>
</table>
</file>

<file path=xl/tables/table2.xml><?xml version="1.0" encoding="utf-8"?>
<table xmlns="http://schemas.openxmlformats.org/spreadsheetml/2006/main" ref="A7:B11" displayName="Table_2" name="Table_2" id="2">
  <tableColumns count="2">
    <tableColumn name="Operativos  / año" id="1"/>
    <tableColumn name="Datos operativos" id="2"/>
  </tableColumns>
  <tableStyleInfo name="KPIs-style 2" showColumnStripes="0" showFirstColumn="1" showLastColumn="1" showRowStripes="1"/>
</table>
</file>

<file path=xl/tables/table3.xml><?xml version="1.0" encoding="utf-8"?>
<table xmlns="http://schemas.openxmlformats.org/spreadsheetml/2006/main" ref="A13:B17" displayName="Table_3" name="Table_3" id="3">
  <tableColumns count="2">
    <tableColumn name="Adopción " id="1"/>
    <tableColumn name="Datos adopcion" id="2"/>
  </tableColumns>
  <tableStyleInfo name="KPIs-style 3" showColumnStripes="0" showFirstColumn="1" showLastColumn="1" showRowStripes="1"/>
</table>
</file>

<file path=xl/tables/table4.xml><?xml version="1.0" encoding="utf-8"?>
<table xmlns="http://schemas.openxmlformats.org/spreadsheetml/2006/main" ref="A19:B23" displayName="Table_4" name="Table_4" id="4">
  <tableColumns count="2">
    <tableColumn name="Riesgo y cumplimiento" id="1"/>
    <tableColumn name="Datos riesgo" id="2"/>
  </tableColumns>
  <tableStyleInfo name="KPIs-style 4" showColumnStripes="0" showFirstColumn="1" showLastColumn="1" showRowStripes="1"/>
</table>
</file>

<file path=xl/tables/table5.xml><?xml version="1.0" encoding="utf-8"?>
<table xmlns="http://schemas.openxmlformats.org/spreadsheetml/2006/main" ref="A28:D65" displayName="Datos_analizados" name="Datos_analizados" id="5">
  <tableColumns count="4">
    <tableColumn name="Input" id="1"/>
    <tableColumn name="Valores" id="2"/>
    <tableColumn name="Descripción" id="3"/>
    <tableColumn name="Concepto claro" id="4"/>
  </tableColumns>
  <tableStyleInfo name="KPIs-style 5" showColumnStripes="0" showFirstColumn="1" showLastColumn="1" showRowStripes="1"/>
</table>
</file>

<file path=xl/tables/table6.xml><?xml version="1.0" encoding="utf-8"?>
<table xmlns="http://schemas.openxmlformats.org/spreadsheetml/2006/main" totalsRowCount="1" ref="A71:B79" displayName="Calculos_económicos" name="Calculos_económicos" id="6">
  <tableColumns count="2">
    <tableColumn totalsRowLabel="ROI (2do año)" name="Concepto" id="1"/>
    <tableColumn totalsRowFunction="custom" name="Fórmula" id="2"/>
  </tableColumns>
  <tableStyleInfo name="KPIs-style 6" showColumnStripes="0" showFirstColumn="1" showLastColumn="1" showRowStripes="1"/>
</table>
</file>

<file path=xl/tables/table7.xml><?xml version="1.0" encoding="utf-8"?>
<table xmlns="http://schemas.openxmlformats.org/spreadsheetml/2006/main" ref="A84:B92" displayName="Calculos_operativos" name="Calculos_operativos" id="7">
  <tableColumns count="2">
    <tableColumn name="Concepto" id="1"/>
    <tableColumn name="Fórmula" id="2"/>
  </tableColumns>
  <tableStyleInfo name="KPIs-style 7" showColumnStripes="0" showFirstColumn="1" showLastColumn="1" showRowStripes="1"/>
</table>
</file>

<file path=xl/tables/table8.xml><?xml version="1.0" encoding="utf-8"?>
<table xmlns="http://schemas.openxmlformats.org/spreadsheetml/2006/main" ref="A95:B100" displayName="Calculos_de_auditoría" name="Calculos_de_auditoría" id="8">
  <tableColumns count="2">
    <tableColumn name="Riesgo y cumplimiento" id="1"/>
    <tableColumn name="Fórmula" id="2"/>
  </tableColumns>
  <tableStyleInfo name="KPIs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44846"/>
      </a:dk1>
      <a:lt1>
        <a:srgbClr val="FFFFFF"/>
      </a:lt1>
      <a:dk2>
        <a:srgbClr val="344846"/>
      </a:dk2>
      <a:lt2>
        <a:srgbClr val="FFFFFF"/>
      </a:lt2>
      <a:accent1>
        <a:srgbClr val="00535C"/>
      </a:accent1>
      <a:accent2>
        <a:srgbClr val="CD840E"/>
      </a:accent2>
      <a:accent3>
        <a:srgbClr val="9F545C"/>
      </a:accent3>
      <a:accent4>
        <a:srgbClr val="D9C1AD"/>
      </a:accent4>
      <a:accent5>
        <a:srgbClr val="D5E8AC"/>
      </a:accent5>
      <a:accent6>
        <a:srgbClr val="3862B5"/>
      </a:accent6>
      <a:hlink>
        <a:srgbClr val="9F545C"/>
      </a:hlink>
      <a:folHlink>
        <a:srgbClr val="9F545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5.5"/>
    <col customWidth="1" min="2" max="2" width="16.13"/>
    <col customWidth="1" min="3" max="3" width="61.13"/>
    <col customWidth="1" min="4" max="4" width="118.5"/>
    <col customWidth="1" min="5" max="5" width="40.75"/>
    <col customWidth="1" min="6" max="6" width="15.0"/>
    <col customWidth="1" min="7" max="7" width="35.25"/>
    <col customWidth="1" min="8" max="8" width="12.38"/>
    <col customWidth="1" min="9" max="24" width="7.63"/>
  </cols>
  <sheetData>
    <row r="1">
      <c r="A1" s="1" t="s">
        <v>0</v>
      </c>
      <c r="B1" s="2" t="s">
        <v>1</v>
      </c>
    </row>
    <row r="2">
      <c r="A2" s="3" t="s">
        <v>2</v>
      </c>
      <c r="B2" s="4">
        <f>KPIs!$B$78</f>
        <v>0.1734693878</v>
      </c>
    </row>
    <row r="3">
      <c r="A3" s="5" t="s">
        <v>3</v>
      </c>
      <c r="B3" s="6">
        <f>B76</f>
        <v>20384</v>
      </c>
    </row>
    <row r="4">
      <c r="A4" s="5" t="s">
        <v>4</v>
      </c>
      <c r="B4" s="5">
        <f>sum(B72:B74)</f>
        <v>23920</v>
      </c>
    </row>
    <row r="5">
      <c r="A5" s="7" t="s">
        <v>5</v>
      </c>
      <c r="B5" s="8">
        <f>B79</f>
        <v>0.2458286986</v>
      </c>
    </row>
    <row r="6">
      <c r="A6" s="9"/>
      <c r="B6" s="9"/>
      <c r="C6" s="10"/>
    </row>
    <row r="7">
      <c r="A7" s="11" t="s">
        <v>6</v>
      </c>
      <c r="B7" s="12" t="s">
        <v>7</v>
      </c>
      <c r="C7" s="13"/>
    </row>
    <row r="8">
      <c r="A8" s="14" t="s">
        <v>8</v>
      </c>
      <c r="B8" s="6">
        <f>B90</f>
        <v>560</v>
      </c>
      <c r="C8" s="13"/>
      <c r="D8" s="15"/>
    </row>
    <row r="9">
      <c r="A9" s="14" t="s">
        <v>9</v>
      </c>
      <c r="B9" s="16">
        <f>B88</f>
        <v>7680</v>
      </c>
      <c r="C9" s="13"/>
    </row>
    <row r="10">
      <c r="A10" s="14" t="s">
        <v>10</v>
      </c>
      <c r="B10" s="6">
        <f>B87</f>
        <v>9600</v>
      </c>
      <c r="C10" s="13"/>
    </row>
    <row r="11">
      <c r="A11" s="17" t="s">
        <v>11</v>
      </c>
      <c r="B11" s="18">
        <f>B92</f>
        <v>128</v>
      </c>
      <c r="C11" s="13"/>
    </row>
    <row r="12" ht="15.75" customHeight="1">
      <c r="A12" s="9"/>
      <c r="B12" s="9"/>
      <c r="C12" s="13"/>
    </row>
    <row r="13" ht="15.75" customHeight="1">
      <c r="A13" s="19" t="s">
        <v>12</v>
      </c>
      <c r="B13" s="2" t="s">
        <v>13</v>
      </c>
      <c r="C13" s="13"/>
    </row>
    <row r="14" ht="15.75" customHeight="1">
      <c r="A14" s="20" t="s">
        <v>14</v>
      </c>
      <c r="B14" s="21">
        <f>B49</f>
        <v>80</v>
      </c>
      <c r="C14" s="13"/>
    </row>
    <row r="15" ht="15.75" customHeight="1">
      <c r="A15" s="5" t="s">
        <v>15</v>
      </c>
      <c r="B15" s="6">
        <f>B41</f>
        <v>40</v>
      </c>
      <c r="C15" s="13"/>
    </row>
    <row r="16" ht="15.75" customHeight="1">
      <c r="A16" s="5" t="s">
        <v>16</v>
      </c>
      <c r="B16" s="6">
        <f>B34</f>
        <v>20</v>
      </c>
      <c r="C16" s="13"/>
      <c r="D16" s="10"/>
    </row>
    <row r="17" ht="15.75" customHeight="1">
      <c r="A17" s="22" t="s">
        <v>17</v>
      </c>
      <c r="B17" s="23">
        <f>B97</f>
        <v>192</v>
      </c>
      <c r="C17" s="10"/>
      <c r="D17" s="10"/>
    </row>
    <row r="18" ht="15.75" customHeight="1">
      <c r="A18" s="9"/>
      <c r="B18" s="9"/>
      <c r="C18" s="13"/>
      <c r="D18" s="10"/>
    </row>
    <row r="19" ht="15.75" customHeight="1">
      <c r="A19" s="19" t="s">
        <v>18</v>
      </c>
      <c r="B19" s="2" t="s">
        <v>19</v>
      </c>
      <c r="C19" s="13"/>
      <c r="D19" s="10"/>
    </row>
    <row r="20" ht="15.75" customHeight="1">
      <c r="A20" s="3" t="s">
        <v>20</v>
      </c>
      <c r="B20" s="24">
        <f>B100</f>
        <v>98</v>
      </c>
      <c r="C20" s="13"/>
      <c r="D20" s="10"/>
      <c r="E20" s="10"/>
    </row>
    <row r="21" ht="15.75" customHeight="1">
      <c r="A21" s="25" t="s">
        <v>21</v>
      </c>
      <c r="B21" s="6">
        <f t="shared" ref="B21:B23" si="1">B98</f>
        <v>144</v>
      </c>
      <c r="C21" s="13"/>
      <c r="D21" s="10"/>
    </row>
    <row r="22" ht="15.75" customHeight="1">
      <c r="A22" s="5" t="s">
        <v>22</v>
      </c>
      <c r="B22" s="6">
        <f t="shared" si="1"/>
        <v>70</v>
      </c>
      <c r="C22" s="13"/>
      <c r="D22" s="10"/>
    </row>
    <row r="23" ht="15.75" customHeight="1">
      <c r="A23" s="22" t="s">
        <v>23</v>
      </c>
      <c r="B23" s="23">
        <f t="shared" si="1"/>
        <v>98</v>
      </c>
      <c r="C23" s="13"/>
      <c r="D23" s="10"/>
    </row>
    <row r="24" ht="15.75" customHeight="1">
      <c r="C24" s="10"/>
      <c r="D24" s="10"/>
    </row>
    <row r="25" ht="15.75" customHeight="1">
      <c r="C25" s="10"/>
      <c r="D25" s="10"/>
    </row>
    <row r="26" ht="15.75" customHeight="1">
      <c r="C26" s="10"/>
      <c r="D26" s="10"/>
    </row>
    <row r="27" ht="15.75" customHeight="1">
      <c r="A27" s="10"/>
      <c r="B27" s="10"/>
      <c r="C27" s="10"/>
      <c r="D27" s="10"/>
    </row>
    <row r="28" ht="15.75" customHeight="1">
      <c r="A28" s="26" t="s">
        <v>24</v>
      </c>
      <c r="B28" s="27" t="s">
        <v>25</v>
      </c>
      <c r="C28" s="26" t="s">
        <v>26</v>
      </c>
      <c r="D28" s="27" t="s">
        <v>27</v>
      </c>
    </row>
    <row r="29" ht="15.75" customHeight="1">
      <c r="A29" s="28" t="s">
        <v>28</v>
      </c>
      <c r="B29" s="29">
        <v>10000.0</v>
      </c>
      <c r="C29" s="30" t="s">
        <v>29</v>
      </c>
      <c r="D29" s="31" t="s">
        <v>30</v>
      </c>
    </row>
    <row r="30" ht="15.75" customHeight="1">
      <c r="A30" s="28" t="s">
        <v>31</v>
      </c>
      <c r="B30" s="29">
        <v>30.0</v>
      </c>
      <c r="C30" s="28" t="s">
        <v>32</v>
      </c>
      <c r="D30" s="28" t="s">
        <v>33</v>
      </c>
    </row>
    <row r="31" ht="15.75" customHeight="1">
      <c r="A31" s="28" t="s">
        <v>34</v>
      </c>
      <c r="B31" s="32">
        <v>200.0</v>
      </c>
      <c r="C31" s="28" t="s">
        <v>35</v>
      </c>
      <c r="D31" s="28"/>
    </row>
    <row r="32" ht="15.75" customHeight="1">
      <c r="A32" s="28" t="s">
        <v>36</v>
      </c>
      <c r="B32" s="29">
        <v>18.0</v>
      </c>
      <c r="C32" s="28" t="s">
        <v>37</v>
      </c>
      <c r="D32" s="28" t="s">
        <v>38</v>
      </c>
    </row>
    <row r="33" ht="15.75" customHeight="1">
      <c r="A33" s="31" t="s">
        <v>39</v>
      </c>
      <c r="B33" s="33">
        <v>5.0</v>
      </c>
      <c r="C33" s="31" t="s">
        <v>40</v>
      </c>
      <c r="D33" s="31" t="s">
        <v>41</v>
      </c>
    </row>
    <row r="34" ht="15.75" customHeight="1">
      <c r="A34" s="31" t="s">
        <v>42</v>
      </c>
      <c r="B34" s="33">
        <v>20.0</v>
      </c>
      <c r="C34" s="31" t="s">
        <v>43</v>
      </c>
      <c r="D34" s="31" t="s">
        <v>44</v>
      </c>
    </row>
    <row r="35" ht="15.75" customHeight="1"/>
    <row r="36" ht="24.75" customHeight="1">
      <c r="A36" s="31" t="s">
        <v>45</v>
      </c>
      <c r="B36" s="34">
        <f>B34*0.1</f>
        <v>2</v>
      </c>
      <c r="C36" s="31" t="s">
        <v>46</v>
      </c>
      <c r="D36" s="31" t="s">
        <v>47</v>
      </c>
    </row>
    <row r="37" ht="39.0" customHeight="1">
      <c r="A37" s="28" t="s">
        <v>48</v>
      </c>
      <c r="B37" s="35">
        <f>B34*B33/60</f>
        <v>1.666666667</v>
      </c>
      <c r="C37" s="28" t="s">
        <v>49</v>
      </c>
      <c r="D37" s="28" t="s">
        <v>50</v>
      </c>
    </row>
    <row r="38" ht="15.75" customHeight="1">
      <c r="A38" s="31" t="s">
        <v>51</v>
      </c>
      <c r="B38" s="34">
        <f>B33*B34*B31/60</f>
        <v>333.3333333</v>
      </c>
      <c r="C38" s="31" t="s">
        <v>52</v>
      </c>
      <c r="D38" s="31"/>
    </row>
    <row r="39" ht="15.75" customHeight="1">
      <c r="A39" s="31" t="s">
        <v>53</v>
      </c>
      <c r="B39" s="34">
        <f>B38*B32</f>
        <v>6000</v>
      </c>
      <c r="C39" s="31" t="s">
        <v>54</v>
      </c>
      <c r="D39" s="31"/>
    </row>
    <row r="40" ht="15.75" customHeight="1">
      <c r="B40" s="36"/>
    </row>
    <row r="41" ht="15.75" customHeight="1">
      <c r="A41" s="31" t="s">
        <v>55</v>
      </c>
      <c r="B41" s="33">
        <v>40.0</v>
      </c>
      <c r="C41" s="31" t="s">
        <v>56</v>
      </c>
      <c r="D41" s="37" t="s">
        <v>57</v>
      </c>
    </row>
    <row r="42" ht="15.75" customHeight="1">
      <c r="A42" s="31" t="s">
        <v>58</v>
      </c>
      <c r="B42" s="33">
        <v>50.0</v>
      </c>
      <c r="C42" s="31" t="s">
        <v>59</v>
      </c>
      <c r="D42" s="31" t="s">
        <v>60</v>
      </c>
    </row>
    <row r="43" ht="15.75" customHeight="1">
      <c r="A43" s="31" t="s">
        <v>61</v>
      </c>
      <c r="B43" s="33">
        <v>80.0</v>
      </c>
      <c r="C43" s="31" t="s">
        <v>62</v>
      </c>
      <c r="D43" s="31" t="s">
        <v>63</v>
      </c>
    </row>
    <row r="44" ht="15.75" customHeight="1">
      <c r="A44" s="28" t="s">
        <v>64</v>
      </c>
      <c r="B44" s="29">
        <v>150.0</v>
      </c>
      <c r="C44" s="28" t="s">
        <v>65</v>
      </c>
    </row>
    <row r="45" ht="15.75" customHeight="1">
      <c r="A45" s="28" t="s">
        <v>66</v>
      </c>
      <c r="B45" s="29">
        <v>6000.0</v>
      </c>
      <c r="C45" s="30" t="s">
        <v>67</v>
      </c>
      <c r="D45" s="31" t="s">
        <v>68</v>
      </c>
    </row>
    <row r="46" ht="15.75" customHeight="1">
      <c r="A46" s="28" t="s">
        <v>69</v>
      </c>
      <c r="B46" s="29">
        <v>2000.0</v>
      </c>
      <c r="C46" s="28" t="s">
        <v>70</v>
      </c>
      <c r="D46" s="31" t="s">
        <v>71</v>
      </c>
    </row>
    <row r="47" ht="15.75" customHeight="1">
      <c r="A47" s="31" t="s">
        <v>72</v>
      </c>
      <c r="B47" s="33">
        <v>0.04</v>
      </c>
      <c r="C47" s="31" t="s">
        <v>73</v>
      </c>
      <c r="D47" s="31" t="s">
        <v>74</v>
      </c>
    </row>
    <row r="48" ht="15.75" customHeight="1"/>
    <row r="49" ht="15.75" customHeight="1">
      <c r="A49" s="31" t="s">
        <v>75</v>
      </c>
      <c r="B49" s="38">
        <f>B31*B41%</f>
        <v>80</v>
      </c>
      <c r="C49" s="31" t="s">
        <v>76</v>
      </c>
    </row>
    <row r="50" ht="15.75" customHeight="1">
      <c r="A50" s="28" t="s">
        <v>77</v>
      </c>
      <c r="B50" s="35">
        <f>B44*B49</f>
        <v>12000</v>
      </c>
      <c r="C50" s="28" t="s">
        <v>78</v>
      </c>
      <c r="D50" s="31" t="s">
        <v>79</v>
      </c>
    </row>
    <row r="51" ht="15.75" customHeight="1">
      <c r="A51" s="31" t="s">
        <v>80</v>
      </c>
      <c r="B51" s="38">
        <f>B34*B42%</f>
        <v>10</v>
      </c>
      <c r="C51" s="31" t="s">
        <v>81</v>
      </c>
    </row>
    <row r="52" ht="15.75" customHeight="1">
      <c r="A52" s="31" t="s">
        <v>82</v>
      </c>
      <c r="B52" s="38">
        <f>B51*B49</f>
        <v>800</v>
      </c>
      <c r="C52" s="31" t="s">
        <v>83</v>
      </c>
    </row>
    <row r="53" ht="15.75" customHeight="1">
      <c r="A53" s="31" t="s">
        <v>84</v>
      </c>
      <c r="B53" s="34">
        <f>B36*B43%</f>
        <v>1.6</v>
      </c>
      <c r="C53" s="31" t="s">
        <v>85</v>
      </c>
      <c r="D53" s="31"/>
    </row>
    <row r="54" ht="15.75" customHeight="1"/>
    <row r="55" ht="15.75" customHeight="1">
      <c r="A55" s="31" t="s">
        <v>86</v>
      </c>
      <c r="B55" s="33">
        <v>70.0</v>
      </c>
      <c r="C55" s="31" t="s">
        <v>87</v>
      </c>
      <c r="D55" s="31" t="s">
        <v>88</v>
      </c>
    </row>
    <row r="56" ht="15.75" customHeight="1">
      <c r="A56" s="31" t="s">
        <v>89</v>
      </c>
      <c r="B56" s="33">
        <v>0.6</v>
      </c>
      <c r="C56" s="31" t="s">
        <v>90</v>
      </c>
      <c r="D56" s="31"/>
    </row>
    <row r="57" ht="15.75" customHeight="1">
      <c r="A57" s="31" t="s">
        <v>91</v>
      </c>
      <c r="B57" s="34">
        <f>B33*B55%</f>
        <v>3.5</v>
      </c>
      <c r="C57" s="31" t="s">
        <v>92</v>
      </c>
      <c r="D57" s="31" t="s">
        <v>93</v>
      </c>
    </row>
    <row r="58" ht="15.75" customHeight="1">
      <c r="A58" s="31" t="s">
        <v>94</v>
      </c>
      <c r="B58" s="34">
        <f>B34*(B33-B57)*B42%*B41%</f>
        <v>6</v>
      </c>
      <c r="C58" s="31" t="s">
        <v>95</v>
      </c>
      <c r="D58" s="31"/>
    </row>
    <row r="59" ht="15.75" customHeight="1">
      <c r="A59" s="31" t="s">
        <v>96</v>
      </c>
      <c r="B59" s="34">
        <f>(B51*B33)-B58</f>
        <v>44</v>
      </c>
      <c r="C59" s="31" t="s">
        <v>97</v>
      </c>
      <c r="D59" s="31"/>
    </row>
    <row r="60" ht="15.75" customHeight="1"/>
    <row r="61" ht="15.75" customHeight="1">
      <c r="A61" s="31" t="s">
        <v>98</v>
      </c>
      <c r="B61" s="33">
        <v>85.0</v>
      </c>
      <c r="C61" s="31" t="s">
        <v>99</v>
      </c>
      <c r="D61" s="31" t="s">
        <v>100</v>
      </c>
    </row>
    <row r="62" ht="15.75" customHeight="1">
      <c r="A62" s="31" t="s">
        <v>101</v>
      </c>
      <c r="B62" s="33">
        <v>70.0</v>
      </c>
      <c r="C62" s="31" t="s">
        <v>102</v>
      </c>
      <c r="D62" s="31" t="s">
        <v>103</v>
      </c>
    </row>
    <row r="63" ht="15.75" customHeight="1">
      <c r="A63" s="31" t="s">
        <v>104</v>
      </c>
      <c r="B63" s="33">
        <f>B52*1.5%</f>
        <v>12</v>
      </c>
      <c r="C63" s="31" t="s">
        <v>105</v>
      </c>
      <c r="D63" s="31" t="s">
        <v>106</v>
      </c>
    </row>
    <row r="64" ht="15.75" customHeight="1">
      <c r="A64" s="31" t="s">
        <v>107</v>
      </c>
      <c r="B64" s="33">
        <f>B52*2%</f>
        <v>16</v>
      </c>
      <c r="C64" s="31" t="s">
        <v>108</v>
      </c>
      <c r="D64" s="31" t="s">
        <v>109</v>
      </c>
    </row>
    <row r="65" ht="15.75" customHeight="1">
      <c r="A65" s="31" t="s">
        <v>110</v>
      </c>
      <c r="B65" s="33">
        <v>95.0</v>
      </c>
      <c r="C65" s="31" t="s">
        <v>111</v>
      </c>
      <c r="D65" s="31" t="s">
        <v>112</v>
      </c>
    </row>
    <row r="66" ht="15.75" customHeight="1"/>
    <row r="67" ht="15.75" customHeight="1"/>
    <row r="68" ht="15.75" customHeight="1"/>
    <row r="69" ht="15.75" customHeight="1">
      <c r="A69" s="10"/>
    </row>
    <row r="70" ht="15.75" customHeight="1">
      <c r="A70" s="10"/>
    </row>
    <row r="71" ht="15.75" customHeight="1">
      <c r="A71" s="39" t="s">
        <v>113</v>
      </c>
      <c r="B71" s="39" t="s">
        <v>114</v>
      </c>
    </row>
    <row r="72" ht="15.75" customHeight="1">
      <c r="A72" s="40" t="s">
        <v>115</v>
      </c>
      <c r="B72" s="40">
        <f>B90*B32</f>
        <v>10080</v>
      </c>
    </row>
    <row r="73" ht="15.75" customHeight="1">
      <c r="A73" s="40" t="s">
        <v>116</v>
      </c>
      <c r="B73" s="41">
        <f>B30*B92</f>
        <v>3840</v>
      </c>
    </row>
    <row r="74" ht="15.75" customHeight="1">
      <c r="A74" s="40" t="s">
        <v>117</v>
      </c>
      <c r="B74" s="36">
        <f>B29</f>
        <v>10000</v>
      </c>
    </row>
    <row r="75" ht="15.75" customHeight="1">
      <c r="A75" s="41" t="s">
        <v>118</v>
      </c>
      <c r="B75" s="36">
        <f>SUM(B72:B74)-B76</f>
        <v>3536</v>
      </c>
    </row>
    <row r="76" ht="15.75" customHeight="1">
      <c r="A76" s="40" t="s">
        <v>119</v>
      </c>
      <c r="B76" s="36">
        <f>B50+B45+B46+B87*B47</f>
        <v>20384</v>
      </c>
    </row>
    <row r="77" ht="15.75" customHeight="1">
      <c r="A77" s="40" t="s">
        <v>120</v>
      </c>
      <c r="B77" s="36">
        <f>B50+B46+B87*B47</f>
        <v>14384</v>
      </c>
    </row>
    <row r="78" ht="15.75" customHeight="1">
      <c r="A78" s="40" t="s">
        <v>121</v>
      </c>
      <c r="B78" s="42">
        <f>B75/B76</f>
        <v>0.1734693878</v>
      </c>
    </row>
    <row r="79" ht="15.75" customHeight="1">
      <c r="A79" s="40" t="s">
        <v>122</v>
      </c>
      <c r="B79" s="42">
        <f>B75/B77</f>
        <v>0.2458286986</v>
      </c>
    </row>
    <row r="80" ht="15.75" customHeight="1">
      <c r="A80" s="43" t="str">
        <f>"ROI "&amp;TEXT(KPIs!$B$78,"0%")&amp;" — por cada 1 € invertido, recuperas "&amp;TEXT(0+KPIs!$B$78,"0.00")&amp;" €."</f>
        <v>ROI 17% — por cada 1 € invertido, recuperas 0,17 €.</v>
      </c>
    </row>
    <row r="81" ht="15.75" customHeight="1">
      <c r="A81" s="43"/>
      <c r="B81" s="43"/>
      <c r="C81" s="43"/>
      <c r="D81" s="43"/>
      <c r="E81" s="43"/>
      <c r="F81" s="43"/>
      <c r="G81" s="43"/>
    </row>
    <row r="82" ht="15.75" customHeight="1">
      <c r="A82" s="43"/>
      <c r="B82" s="43"/>
      <c r="C82" s="43"/>
      <c r="D82" s="43"/>
      <c r="E82" s="43"/>
      <c r="F82" s="43"/>
      <c r="G82" s="43"/>
    </row>
    <row r="83" ht="15.75" customHeight="1">
      <c r="A83" s="10"/>
    </row>
    <row r="84" ht="15.75" customHeight="1">
      <c r="A84" s="44" t="s">
        <v>113</v>
      </c>
      <c r="B84" s="45" t="s">
        <v>114</v>
      </c>
    </row>
    <row r="85" ht="15.75" customHeight="1">
      <c r="A85" s="46" t="s">
        <v>123</v>
      </c>
      <c r="B85" s="47">
        <f>B49</f>
        <v>80</v>
      </c>
    </row>
    <row r="86" ht="15.75" customHeight="1">
      <c r="A86" s="48" t="s">
        <v>124</v>
      </c>
      <c r="B86" s="49">
        <f>B34*12*B85</f>
        <v>19200</v>
      </c>
    </row>
    <row r="87" ht="15.75" customHeight="1">
      <c r="A87" s="50" t="s">
        <v>125</v>
      </c>
      <c r="B87" s="49">
        <f t="shared" ref="B87:B88" si="2">B86*B42%</f>
        <v>9600</v>
      </c>
    </row>
    <row r="88" ht="15.75" customHeight="1">
      <c r="A88" s="48" t="s">
        <v>126</v>
      </c>
      <c r="B88" s="49">
        <f t="shared" si="2"/>
        <v>7680</v>
      </c>
    </row>
    <row r="89" ht="15.75" customHeight="1">
      <c r="A89" s="48" t="s">
        <v>127</v>
      </c>
      <c r="B89" s="49">
        <f>B37*B85*12*B42%</f>
        <v>800</v>
      </c>
    </row>
    <row r="90" ht="15.75" customHeight="1">
      <c r="A90" s="50" t="s">
        <v>128</v>
      </c>
      <c r="B90" s="49">
        <f>B89*B55%</f>
        <v>560</v>
      </c>
    </row>
    <row r="91" ht="15.75" customHeight="1">
      <c r="A91" s="51" t="s">
        <v>129</v>
      </c>
      <c r="B91" s="52">
        <f>B85*B36</f>
        <v>160</v>
      </c>
      <c r="C91" s="53"/>
      <c r="D91" s="54"/>
    </row>
    <row r="92" ht="15.75" customHeight="1">
      <c r="A92" s="55" t="s">
        <v>130</v>
      </c>
      <c r="B92" s="56">
        <f>B91*B43%</f>
        <v>128</v>
      </c>
      <c r="C92" s="54"/>
      <c r="D92" s="54"/>
    </row>
    <row r="93" ht="15.75" customHeight="1">
      <c r="C93" s="54"/>
      <c r="D93" s="54"/>
    </row>
    <row r="94" ht="15.75" customHeight="1"/>
    <row r="95" ht="15.75" customHeight="1">
      <c r="A95" s="57" t="s">
        <v>18</v>
      </c>
      <c r="B95" s="58" t="s">
        <v>114</v>
      </c>
    </row>
    <row r="96" ht="15.75" customHeight="1">
      <c r="A96" s="59" t="s">
        <v>131</v>
      </c>
      <c r="B96" s="60">
        <f>B87*B65%</f>
        <v>9120</v>
      </c>
    </row>
    <row r="97" ht="15.75" customHeight="1">
      <c r="A97" s="59" t="s">
        <v>17</v>
      </c>
      <c r="B97" s="60">
        <f>B64*12</f>
        <v>192</v>
      </c>
    </row>
    <row r="98" ht="15.75" customHeight="1">
      <c r="A98" s="61" t="s">
        <v>132</v>
      </c>
      <c r="B98" s="60">
        <f>B63*12</f>
        <v>144</v>
      </c>
    </row>
    <row r="99" ht="15.75" customHeight="1">
      <c r="A99" s="59" t="s">
        <v>133</v>
      </c>
      <c r="B99" s="60">
        <f>B62</f>
        <v>70</v>
      </c>
    </row>
    <row r="100" ht="15.75" customHeight="1">
      <c r="A100" s="62" t="s">
        <v>20</v>
      </c>
      <c r="B100" s="63">
        <f>(B87-B97)/B87*100</f>
        <v>98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mergeCells count="1">
    <mergeCell ref="A80:G80"/>
  </mergeCells>
  <dataValidations>
    <dataValidation type="custom" allowBlank="1" showDropDown="1" sqref="B85:B92 B96:B100">
      <formula1>AND(ISNUMBER(B85),(NOT(OR(NOT(ISERROR(DATEVALUE(B85))), AND(ISNUMBER(B85), LEFT(CELL("format", B85))="D")))))</formula1>
    </dataValidation>
  </dataValidations>
  <printOptions/>
  <pageMargins bottom="1.0" footer="0.0" header="0.0" left="0.75" right="0.75" top="1.0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